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Хобби RC car\SF_24_ALL\"/>
    </mc:Choice>
  </mc:AlternateContent>
  <xr:revisionPtr revIDLastSave="0" documentId="13_ncr:1_{B3D25FEC-E167-44B8-AEA2-59D905FFE6C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ecifi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5" i="1" l="1"/>
  <c r="H50" i="1"/>
  <c r="H43" i="1"/>
  <c r="H30" i="1"/>
  <c r="H24" i="1"/>
  <c r="J40" i="1"/>
  <c r="K40" i="1" s="1"/>
  <c r="J39" i="1"/>
  <c r="K39" i="1" s="1"/>
  <c r="J25" i="1"/>
  <c r="K25" i="1" s="1"/>
  <c r="K24" i="1" s="1"/>
  <c r="J51" i="1"/>
  <c r="K51" i="1" s="1"/>
  <c r="K50" i="1" s="1"/>
  <c r="J47" i="1"/>
  <c r="K47" i="1" s="1"/>
  <c r="J46" i="1"/>
  <c r="K46" i="1" s="1"/>
  <c r="J45" i="1"/>
  <c r="K45" i="1" s="1"/>
  <c r="J44" i="1"/>
  <c r="K44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K43" i="1" l="1"/>
  <c r="K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Evgeniy</author>
  </authors>
  <commentList>
    <comment ref="F34" authorId="0" shapeId="0" xr:uid="{E5D3A27E-F6FD-441D-9B1F-DF303F908F94}">
      <text>
        <r>
          <rPr>
            <b/>
            <sz val="9"/>
            <color indexed="81"/>
            <rFont val="Tahoma"/>
            <family val="2"/>
            <charset val="204"/>
          </rPr>
          <t>Evgeniy:</t>
        </r>
        <r>
          <rPr>
            <sz val="9"/>
            <color indexed="81"/>
            <rFont val="Tahoma"/>
            <family val="2"/>
            <charset val="204"/>
          </rPr>
          <t xml:space="preserve">
Озон
https://www.ozon.ru/product/pruzhina-szhatiya-0-3-mm-diametr-provoloki-naruzhnyy-diametr-dlina-304-iz-nerzhaveyushchey-stali-1753894439/?at=1kmm1_yWD_H38ToJppedkfeZU-CiRAbM&amp;from_sku=2412448772&amp;oos_search=false&amp;sh=jYizFtvbTw
</t>
        </r>
      </text>
    </comment>
    <comment ref="F36" authorId="0" shapeId="0" xr:uid="{E5A1ED94-E49C-4D4C-B60B-6FFB3E9CDCB4}">
      <text>
        <r>
          <rPr>
            <b/>
            <sz val="9"/>
            <color indexed="81"/>
            <rFont val="Tahoma"/>
            <family val="2"/>
            <charset val="204"/>
          </rPr>
          <t>Evgeniy:</t>
        </r>
        <r>
          <rPr>
            <sz val="9"/>
            <color indexed="81"/>
            <rFont val="Tahoma"/>
            <family val="2"/>
            <charset val="204"/>
          </rPr>
          <t xml:space="preserve">
OZON
https://www.ozon.ru/product/shtift-kalenyy-tsilindricheskiy-2x22-din-6325-gost-24296-93-4-sht-1160130355/?sh=jYizFi_61w</t>
        </r>
      </text>
    </comment>
    <comment ref="I37" authorId="0" shapeId="0" xr:uid="{E8512FEF-15B7-4762-9EDF-9DCFFC5B3B04}">
      <text>
        <r>
          <rPr>
            <b/>
            <sz val="9"/>
            <color indexed="81"/>
            <rFont val="Tahoma"/>
            <family val="2"/>
            <charset val="204"/>
          </rPr>
          <t>Evgeniy:</t>
        </r>
        <r>
          <rPr>
            <sz val="9"/>
            <color indexed="81"/>
            <rFont val="Tahoma"/>
            <family val="2"/>
            <charset val="204"/>
          </rPr>
          <t xml:space="preserve">
Есть лот 10 шт</t>
        </r>
      </text>
    </comment>
    <comment ref="I38" authorId="0" shapeId="0" xr:uid="{A44E0518-D0EC-466A-AC43-7879FACB09BE}">
      <text>
        <r>
          <rPr>
            <b/>
            <sz val="9"/>
            <color indexed="81"/>
            <rFont val="Tahoma"/>
            <family val="2"/>
            <charset val="204"/>
          </rPr>
          <t>Evgeniy:</t>
        </r>
        <r>
          <rPr>
            <sz val="9"/>
            <color indexed="81"/>
            <rFont val="Tahoma"/>
            <family val="2"/>
            <charset val="204"/>
          </rPr>
          <t xml:space="preserve">
Есть лот 10 шт</t>
        </r>
      </text>
    </comment>
    <comment ref="H39" authorId="0" shapeId="0" xr:uid="{D8DC09C0-4A79-4348-9F96-9F709A2CC196}">
      <text>
        <r>
          <rPr>
            <b/>
            <sz val="9"/>
            <color indexed="81"/>
            <rFont val="Tahoma"/>
            <family val="2"/>
            <charset val="204"/>
          </rPr>
          <t>Evgeniy:</t>
        </r>
        <r>
          <rPr>
            <sz val="9"/>
            <color indexed="81"/>
            <rFont val="Tahoma"/>
            <family val="2"/>
            <charset val="204"/>
          </rPr>
          <t xml:space="preserve">
Стоимость с доставкой надо уточнять!</t>
        </r>
      </text>
    </comment>
    <comment ref="F44" authorId="0" shapeId="0" xr:uid="{FB837118-06BA-4B95-94CD-D21D866887CC}">
      <text>
        <r>
          <rPr>
            <b/>
            <sz val="9"/>
            <color indexed="81"/>
            <rFont val="Tahoma"/>
            <family val="2"/>
            <charset val="204"/>
          </rPr>
          <t xml:space="preserve">Evgeniy:
</t>
        </r>
        <r>
          <rPr>
            <sz val="9"/>
            <color indexed="81"/>
            <rFont val="Tahoma"/>
            <family val="2"/>
            <charset val="204"/>
          </rPr>
          <t xml:space="preserve">
350 mAh
https://www.ozon.ru/product/akkumulyator-li-po-gaoneng-gnb-350mah-2s1p-7-4v-60c-12x20-5x45mm-xt30-1683332482
380 mAh
https://www.ozon.ru/product/akkumulyator-li-po-gnb-380mah-2s1p-7-6v-hv-90c-5173858619/?sh=jYizFu24Fw</t>
        </r>
      </text>
    </comment>
    <comment ref="F46" authorId="0" shapeId="0" xr:uid="{0CC9F714-501F-4A5D-965C-39BA65D58BE6}">
      <text>
        <r>
          <rPr>
            <b/>
            <sz val="9"/>
            <color indexed="81"/>
            <rFont val="Tahoma"/>
            <family val="2"/>
            <charset val="204"/>
          </rPr>
          <t>Evgeniy:</t>
        </r>
        <r>
          <rPr>
            <sz val="9"/>
            <color indexed="81"/>
            <rFont val="Tahoma"/>
            <family val="2"/>
            <charset val="204"/>
          </rPr>
          <t xml:space="preserve">
2500 kv
…......................
</t>
        </r>
      </text>
    </comment>
  </commentList>
</comments>
</file>

<file path=xl/sharedStrings.xml><?xml version="1.0" encoding="utf-8"?>
<sst xmlns="http://schemas.openxmlformats.org/spreadsheetml/2006/main" count="185" uniqueCount="159">
  <si>
    <t>ОПИСАНИЕ</t>
  </si>
  <si>
    <t>К-ВО</t>
  </si>
  <si>
    <t>SF24_W001_Main Chassis_V2</t>
  </si>
  <si>
    <t>Шасси</t>
  </si>
  <si>
    <t>SF24_W002_Upper Frame_V2</t>
  </si>
  <si>
    <t>Верхняя плата</t>
  </si>
  <si>
    <t>SF24_W003_Bumper</t>
  </si>
  <si>
    <t>Бампер</t>
  </si>
  <si>
    <t>Моторама</t>
  </si>
  <si>
    <t>Задние диски</t>
  </si>
  <si>
    <t>Левый кулак</t>
  </si>
  <si>
    <t>Правый кулак</t>
  </si>
  <si>
    <t>Передние диски</t>
  </si>
  <si>
    <t>SF24_P005_Suspension TowerV3</t>
  </si>
  <si>
    <t>Распорка передней подвески</t>
  </si>
  <si>
    <t>SF24_P006_Suspension Holder L_V3</t>
  </si>
  <si>
    <t>Крепление сервопривода левое</t>
  </si>
  <si>
    <t>SF24_P006_Suspension Holder R_V3</t>
  </si>
  <si>
    <t>Крепление сервопривода правое</t>
  </si>
  <si>
    <t>SF24_P007_SteeringRod</t>
  </si>
  <si>
    <t>Рулевая тяга</t>
  </si>
  <si>
    <t>SF24_SH3x7x14</t>
  </si>
  <si>
    <t>Стойки передней распорки</t>
  </si>
  <si>
    <t>SF24_SH3x7x3</t>
  </si>
  <si>
    <t>Стойки верхней платы</t>
  </si>
  <si>
    <t>Шины из пористой резины</t>
  </si>
  <si>
    <t>Шаровые наконечники</t>
  </si>
  <si>
    <t>Пружины</t>
  </si>
  <si>
    <t>Штифт 3х75</t>
  </si>
  <si>
    <t>Штифт 2x22</t>
  </si>
  <si>
    <t>Подшипники MF62ZZ</t>
  </si>
  <si>
    <t>Подшипники MF63ZZ</t>
  </si>
  <si>
    <t>Кузов</t>
  </si>
  <si>
    <t>Шайба М2x5x0.5</t>
  </si>
  <si>
    <t>Шайба М3х5х0.3</t>
  </si>
  <si>
    <t>Шайба М3х7х0.5</t>
  </si>
  <si>
    <t>Регулятор</t>
  </si>
  <si>
    <t>Сервопривод</t>
  </si>
  <si>
    <t>SF24_P001-10_Motormount_V5</t>
  </si>
  <si>
    <t>ПРИМЕЧАНИЕ</t>
  </si>
  <si>
    <t>V4 - с прорезями под гайку, неудобно</t>
  </si>
  <si>
    <t>SF24_P003L_Front Hub L_V4</t>
  </si>
  <si>
    <t>SF24_P003R_Front Hub R_V4</t>
  </si>
  <si>
    <t>V3 - без углубления под пружину</t>
  </si>
  <si>
    <t>V4 - с площадкой для транспондера</t>
  </si>
  <si>
    <t>V3 - с большим количеством вырезов</t>
  </si>
  <si>
    <t>SF24_P004_FrontWheelV4 (ДЛЯ МИКРОПОРЫ)</t>
  </si>
  <si>
    <t>SF24_P002_RearWheelV4 (ДЛЯ МИКРОПОРЫ)</t>
  </si>
  <si>
    <t>https://rezina74.ru/catalog/tekhplastina/plastina-poristaya/102309/</t>
  </si>
  <si>
    <t>ЛИБО СИЛИКОН, ЛИБО МИКРОПОРА</t>
  </si>
  <si>
    <t>ДЛЯ ПОИСКА Aliexpress</t>
  </si>
  <si>
    <t>https://aliexpress.ru/item/1005004171823853.html</t>
  </si>
  <si>
    <t xml:space="preserve">Racing Pattern Tire Skin 22mm Wheel WLtoys KYOSHO 1/28 RC Car </t>
  </si>
  <si>
    <t>Ведомая шестерня (спур)</t>
  </si>
  <si>
    <t>Ведущая шестерня (пиньон)</t>
  </si>
  <si>
    <t>http://slotracingshop.com/catalog/kuzova-klassa-chajnik-124/</t>
  </si>
  <si>
    <t>0.5M 38T, отв 2мм (диам до 20мм)</t>
  </si>
  <si>
    <t>https://aliexpress.ru/item/32964210019.html</t>
  </si>
  <si>
    <t>https://aliexpress.ru/item/1005009793159581.html?spm=a2g2w.detail.rcmdprod.1.21624780GFblJN&amp;mixer_rcmd_bucket_id=controlRu1&amp;pdp_trigger_item_id=0_1005004878985049&amp;ru_algo_pv_id=de4632-61b690-e6220e-24d6bc-1789988400&amp;scenario=aerSimilarItemPdpRcmd&amp;shpMethod=CAINIAO_SUPER_ECONOMY&amp;sku_id=12000050180436228&amp;traffic_source=recommendation&amp;type_rcmd=core</t>
  </si>
  <si>
    <t>длинная версия https://aliexpress.ru/item/32963402664.html</t>
  </si>
  <si>
    <t>0.5M 10T, отв 2мм</t>
  </si>
  <si>
    <t>30A</t>
  </si>
  <si>
    <t>Ссылка от Зуйкова</t>
  </si>
  <si>
    <t>https://aliexpress.ru/item/1005010500766006.html?sku_id=12000052605243905</t>
  </si>
  <si>
    <t>https://aliexpress.ru/item/1005009843752666.html?sku_id=12000050339099361</t>
  </si>
  <si>
    <t>Электромотор</t>
  </si>
  <si>
    <t>2s</t>
  </si>
  <si>
    <t>Аккумулятор</t>
  </si>
  <si>
    <t>наруж диам 3мм, длина 5мм, диам проволоки 0.2 - 0.5мм</t>
  </si>
  <si>
    <t>Краска для кузова</t>
  </si>
  <si>
    <t>Передняя резина МИКРОПОРА</t>
  </si>
  <si>
    <t>Задняя резина МИКРОПОРА</t>
  </si>
  <si>
    <t>gear 0.5M</t>
  </si>
  <si>
    <t>springs 3 mm</t>
  </si>
  <si>
    <t>rc car shell body 1/28 1/24</t>
  </si>
  <si>
    <t>ССЫЛКА 2026</t>
  </si>
  <si>
    <t>ФАНЕРА</t>
  </si>
  <si>
    <t>3D-ПЕЧАТЬ</t>
  </si>
  <si>
    <t>ШИНЫ</t>
  </si>
  <si>
    <t>МЕХАНИКА</t>
  </si>
  <si>
    <t>ЭЛЕКТРОНИКА</t>
  </si>
  <si>
    <t>МЕТИЗЫ</t>
  </si>
  <si>
    <t>КОМПЛЕКТ резины СИЛИКОН</t>
  </si>
  <si>
    <t>НАИМЕНОВАНИЕ</t>
  </si>
  <si>
    <t>Кол-во
в лоте</t>
  </si>
  <si>
    <t>ЦЕНА,
лот</t>
  </si>
  <si>
    <t>ЦЕНА
единицы</t>
  </si>
  <si>
    <t>СУММА
ДЛЯ НАБОРА</t>
  </si>
  <si>
    <t>Пин передней подвески (кинг пин)</t>
  </si>
  <si>
    <t>Ось задняя</t>
  </si>
  <si>
    <t>RC Nylon Rod End Ball Joints</t>
  </si>
  <si>
    <t>cylindrical pin steel</t>
  </si>
  <si>
    <t>https://aliexpress.ru/item/1005009926585902.html?sku_id=12000050597318786</t>
  </si>
  <si>
    <t>https://aliexpress.ru/item/1005004510671330.html?sku_id=12000029420752239</t>
  </si>
  <si>
    <t>https://aliexpress.ru/item/32880777629.html?sku_id=12000033773143057</t>
  </si>
  <si>
    <t>Flange Bearing</t>
  </si>
  <si>
    <t>https://aliexpress.ru/item/32880777629.html?sku_id=12000033773143038</t>
  </si>
  <si>
    <t>Только серия PS подходит для лексана!!!</t>
  </si>
  <si>
    <t>https://www.ozon.ru/seller/chenguane/</t>
  </si>
  <si>
    <t>https://aliexpress.ru/item/1005005108677293.html?sku_id=12000044573200626</t>
  </si>
  <si>
    <t>Аппаратура + приёмник</t>
  </si>
  <si>
    <t>Turbo Racing P32</t>
  </si>
  <si>
    <t>https://aliexpress.ru/item/1005002312757685.html?sku_id=12000020032330003</t>
  </si>
  <si>
    <t>https://www.ozon.ru/product/akkumulyator-li-po-gnb-380mah-2s1p-7-6v-hv-90c-5173858619/?sh=jYizFu24Fw</t>
  </si>
  <si>
    <t>Гайка M2</t>
  </si>
  <si>
    <t>Гайка M3</t>
  </si>
  <si>
    <t>Гайка с нейлоном M2</t>
  </si>
  <si>
    <t>Винт с полукруглой 2x6</t>
  </si>
  <si>
    <t>Винт с полукруглой 2x16</t>
  </si>
  <si>
    <t>A2 DIN 934</t>
  </si>
  <si>
    <t>A2 DIN 985</t>
  </si>
  <si>
    <t>Винт с полукруглой 2x10</t>
  </si>
  <si>
    <t>A2 DIN 7985</t>
  </si>
  <si>
    <t>Винт ПОТАЙ 2x6</t>
  </si>
  <si>
    <t>Винт ПОТАЙ 2x20</t>
  </si>
  <si>
    <t>Винт ПОТАЙ 3x10</t>
  </si>
  <si>
    <t>Винт ПОТАЙ 3x16</t>
  </si>
  <si>
    <t>Винт ПОТАЙ 3x20</t>
  </si>
  <si>
    <t>Винт ПОТАЙ 3x30</t>
  </si>
  <si>
    <t>Винт ПОТАЙ 3x8</t>
  </si>
  <si>
    <t>Винт Установочный 2x10</t>
  </si>
  <si>
    <t>A2 DIN 914</t>
  </si>
  <si>
    <t>A2 DIN 965</t>
  </si>
  <si>
    <t>АППАРАТУРА</t>
  </si>
  <si>
    <t>Есть RC вариант https://aliexpress.ru/item/1005008840628072.html?sku_id=12000046902883616</t>
  </si>
  <si>
    <t>steel rod bar</t>
  </si>
  <si>
    <t>RC ESC 30A Brushed</t>
  </si>
  <si>
    <t>MG90 на 180 градусов</t>
  </si>
  <si>
    <t>https://procontact74.ru/ustanovochnye-izdeliya/29-elektrodvigateli-reduktory/291-reduktory-servoprivody/servoprivod-mg90s-29106/</t>
  </si>
  <si>
    <t>Есть в Челябинске в Проконтакт</t>
  </si>
  <si>
    <t>Диск_передний.stl (дополнительный набор моделей)</t>
  </si>
  <si>
    <t>Tamiya PS</t>
  </si>
  <si>
    <t>Обычно продается не крашенный. На Али есть крашенные для Wltoys k969/989. По длине немного не подходят, нужно подрезать арки</t>
  </si>
  <si>
    <t>хорошо подходит по размеру Gaoneng 380mAh или 350mah</t>
  </si>
  <si>
    <t>130 класс, 3500kv (или 2500kv, если нужно по регламенту)</t>
  </si>
  <si>
    <t>ВНИМАНИЕ!!! Покупать только с крепёжными отверстиями! Моторы этого размера часто не имеют крепёжных отверстий</t>
  </si>
  <si>
    <t>Turbo Racing P32 (или любая другая на свой вкус)</t>
  </si>
  <si>
    <t>В "Нержавейке" есть, но гораздо тоньше…</t>
  </si>
  <si>
    <t>Отмеченное зелёным есть в Челябинске, магазин "Нержавейка", Труда 175</t>
  </si>
  <si>
    <t>DIN 7985</t>
  </si>
  <si>
    <t>DIN 914</t>
  </si>
  <si>
    <t>shim m2</t>
  </si>
  <si>
    <t>shim m3</t>
  </si>
  <si>
    <t>Можно использовать 3мм. Но тогда в МЕТИЗАХ нужно взять установочный винт тоже М3</t>
  </si>
  <si>
    <t>оба диаметра 2мм (отверстие под тягу, и отверстие в шарике)</t>
  </si>
  <si>
    <t>Цена зависит от исполнителя, и может очень сильно различаться</t>
  </si>
  <si>
    <t>Диск_задний.stl, Проставка_оси.stl (дополнительный набор моделей)</t>
  </si>
  <si>
    <t>SF24 — спецификация комплектующих.</t>
  </si>
  <si>
    <t>Актуальные ссылки и цены проверены: сентябрь 2026</t>
  </si>
  <si>
    <t>Это неофициальная спецификация.</t>
  </si>
  <si>
    <t>Подготовил: Евгений Астапкович</t>
  </si>
  <si>
    <t>https://github.com/e-astapkovich/sf24-build-guide</t>
  </si>
  <si>
    <t>Исходный проект: Insane RC / SF24</t>
  </si>
  <si>
    <t>https://insane-rc.ru/product-category/insane/sf24/</t>
  </si>
  <si>
    <t>Шины из силикона (нужны диски под эти шины)</t>
  </si>
  <si>
    <t>DIN 934</t>
  </si>
  <si>
    <t>DIN 985</t>
  </si>
  <si>
    <t>DIN 965</t>
  </si>
  <si>
    <t>Купить можно в разных местах, цена может сильно отличаться. На Алиэкспресс продаются большими лотами 10-50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</si>
</sst>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u/>
      <sz val="12"/>
      <color theme="10"/>
      <name val="Calibri"/>
      <family val="2"/>
      <charset val="204"/>
      <scheme val="minor"/>
    </font>
    <font>
      <b/>
      <sz val="12"/>
      <color theme="2" tint="-0.499984740745262"/>
      <name val="Arial"/>
      <family val="2"/>
      <charset val="204"/>
    </font>
    <font>
      <b/>
      <sz val="9"/>
      <color theme="1" tint="0.249977111117893"/>
      <name val="Arial"/>
      <family val="2"/>
      <charset val="204"/>
    </font>
    <font>
      <sz val="11"/>
      <color theme="1" tint="0.249977111117893"/>
      <name val="Arial"/>
      <family val="2"/>
      <charset val="204"/>
    </font>
    <font>
      <b/>
      <sz val="14"/>
      <color theme="1" tint="0.249977111117893"/>
      <name val="Arial"/>
      <family val="2"/>
      <charset val="204"/>
    </font>
    <font>
      <sz val="9"/>
      <color theme="1" tint="0.249977111117893"/>
      <name val="Arial"/>
      <family val="2"/>
      <charset val="204"/>
    </font>
    <font>
      <i/>
      <sz val="9"/>
      <color theme="4" tint="-0.249977111117893"/>
      <name val="Arial"/>
      <family val="2"/>
      <charset val="204"/>
    </font>
    <font>
      <sz val="14"/>
      <color theme="1" tint="0.249977111117893"/>
      <name val="Arial"/>
      <family val="2"/>
      <charset val="204"/>
    </font>
    <font>
      <sz val="8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5B487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" fillId="0" borderId="0" xfId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1" fillId="0" borderId="0" xfId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1" fillId="7" borderId="0" xfId="1" applyFill="1" applyBorder="1" applyAlignment="1">
      <alignment horizontal="left" vertical="center"/>
    </xf>
    <xf numFmtId="0" fontId="1" fillId="7" borderId="0" xfId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4" fontId="9" fillId="0" borderId="0" xfId="0" applyNumberFormat="1" applyFont="1" applyBorder="1" applyAlignment="1">
      <alignment horizontal="center" vertical="center" wrapText="1"/>
    </xf>
    <xf numFmtId="4" fontId="9" fillId="0" borderId="0" xfId="0" applyNumberFormat="1" applyFont="1" applyBorder="1" applyAlignment="1">
      <alignment vertical="center" wrapText="1"/>
    </xf>
    <xf numFmtId="4" fontId="4" fillId="0" borderId="0" xfId="0" applyNumberFormat="1" applyFont="1" applyBorder="1" applyAlignment="1">
      <alignment vertical="center" wrapText="1"/>
    </xf>
    <xf numFmtId="4" fontId="3" fillId="0" borderId="0" xfId="0" applyNumberFormat="1" applyFont="1" applyBorder="1" applyAlignment="1">
      <alignment vertical="center"/>
    </xf>
    <xf numFmtId="4" fontId="10" fillId="0" borderId="0" xfId="1" applyNumberFormat="1" applyFont="1" applyFill="1" applyBorder="1" applyAlignment="1">
      <alignment horizontal="center" vertical="center" wrapText="1"/>
    </xf>
    <xf numFmtId="4" fontId="9" fillId="0" borderId="0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" fontId="11" fillId="0" borderId="3" xfId="0" applyNumberFormat="1" applyFont="1" applyBorder="1" applyAlignment="1">
      <alignment vertical="center"/>
    </xf>
    <xf numFmtId="4" fontId="9" fillId="3" borderId="5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4" fontId="9" fillId="3" borderId="8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vertical="center" wrapText="1"/>
    </xf>
    <xf numFmtId="4" fontId="7" fillId="0" borderId="2" xfId="0" applyNumberFormat="1" applyFont="1" applyBorder="1" applyAlignment="1">
      <alignment vertical="center" wrapText="1"/>
    </xf>
    <xf numFmtId="4" fontId="9" fillId="0" borderId="5" xfId="0" applyNumberFormat="1" applyFont="1" applyBorder="1" applyAlignment="1">
      <alignment horizontal="center" vertical="center"/>
    </xf>
    <xf numFmtId="4" fontId="10" fillId="7" borderId="5" xfId="1" applyNumberFormat="1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" fillId="7" borderId="7" xfId="1" applyFill="1" applyBorder="1" applyAlignment="1">
      <alignment horizontal="left" vertical="center"/>
    </xf>
    <xf numFmtId="0" fontId="1" fillId="7" borderId="7" xfId="1" applyFill="1" applyBorder="1" applyAlignment="1">
      <alignment horizontal="center" vertical="center" wrapText="1"/>
    </xf>
    <xf numFmtId="4" fontId="10" fillId="7" borderId="8" xfId="1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4" fontId="7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 wrapText="1"/>
    </xf>
    <xf numFmtId="4" fontId="9" fillId="2" borderId="5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4" fontId="9" fillId="2" borderId="8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4" fontId="9" fillId="0" borderId="8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4" fontId="9" fillId="0" borderId="8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vertical="center"/>
    </xf>
    <xf numFmtId="0" fontId="4" fillId="0" borderId="7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" fillId="3" borderId="0" xfId="1" applyFill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4" fontId="7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4" fontId="11" fillId="0" borderId="5" xfId="0" applyNumberFormat="1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5B487"/>
      <color rgb="FFDCC4EE"/>
      <color rgb="FFC59EE2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iexpress.ru/item/1005009926585902.html?sku_id=12000050597318786" TargetMode="External"/><Relationship Id="rId13" Type="http://schemas.openxmlformats.org/officeDocument/2006/relationships/hyperlink" Target="https://aliexpress.ru/item/1005005108677293.html?sku_id=12000044573200626" TargetMode="External"/><Relationship Id="rId18" Type="http://schemas.openxmlformats.org/officeDocument/2006/relationships/hyperlink" Target="https://insane-rc.ru/product-category/insane/sf24/" TargetMode="External"/><Relationship Id="rId3" Type="http://schemas.openxmlformats.org/officeDocument/2006/relationships/hyperlink" Target="https://aliexpress.ru/item/1005004171823853.html" TargetMode="External"/><Relationship Id="rId7" Type="http://schemas.openxmlformats.org/officeDocument/2006/relationships/hyperlink" Target="https://aliexpress.ru/item/1005009843752666.html?sku_id=12000050339099361" TargetMode="External"/><Relationship Id="rId12" Type="http://schemas.openxmlformats.org/officeDocument/2006/relationships/hyperlink" Target="https://aliexpress.ru/item/1005010500766006.html?sku_id=12000052605243905" TargetMode="External"/><Relationship Id="rId17" Type="http://schemas.openxmlformats.org/officeDocument/2006/relationships/hyperlink" Target="https://github.com/e-astapkovich/sf24-build-guide" TargetMode="External"/><Relationship Id="rId2" Type="http://schemas.openxmlformats.org/officeDocument/2006/relationships/hyperlink" Target="https://rezina74.ru/catalog/tekhplastina/plastina-poristaya/102309/" TargetMode="External"/><Relationship Id="rId16" Type="http://schemas.openxmlformats.org/officeDocument/2006/relationships/hyperlink" Target="https://procontact74.ru/ustanovochnye-izdeliya/29-elektrodvigateli-reduktory/291-reduktory-servoprivody/servoprivod-mg90s-29106/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rezina74.ru/catalog/tekhplastina/plastina-poristaya/102309/" TargetMode="External"/><Relationship Id="rId6" Type="http://schemas.openxmlformats.org/officeDocument/2006/relationships/hyperlink" Target="https://aliexpress.ru/item/1005009793159581.html?spm=a2g2w.detail.rcmdprod.1.21624780GFblJN&amp;mixer_rcmd_bucket_id=controlRu1&amp;pdp_trigger_item_id=0_1005004878985049&amp;ru_algo_pv_id=de4632-61b690-e6220e-24d6bc-1789988400&amp;scenario=aerSimilarItemPdpRcmd&amp;shpMethod=CAINIAO_SUPER_ECONOMY&amp;sku_id=12000050180436228&amp;traffic_source=recommendation&amp;type_rcmd=core" TargetMode="External"/><Relationship Id="rId11" Type="http://schemas.openxmlformats.org/officeDocument/2006/relationships/hyperlink" Target="https://www.ozon.ru/seller/chenguane/" TargetMode="External"/><Relationship Id="rId5" Type="http://schemas.openxmlformats.org/officeDocument/2006/relationships/hyperlink" Target="https://aliexpress.ru/item/32964210019.html" TargetMode="External"/><Relationship Id="rId15" Type="http://schemas.openxmlformats.org/officeDocument/2006/relationships/hyperlink" Target="https://www.ozon.ru/product/akkumulyator-li-po-gnb-380mah-2s1p-7-6v-hv-90c-5173858619/?sh=jYizFu24Fw" TargetMode="External"/><Relationship Id="rId10" Type="http://schemas.openxmlformats.org/officeDocument/2006/relationships/hyperlink" Target="https://aliexpress.ru/item/32880777629.html?sku_id=12000033773143038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://slotracingshop.com/catalog/kuzova-klassa-chajnik-124/" TargetMode="External"/><Relationship Id="rId9" Type="http://schemas.openxmlformats.org/officeDocument/2006/relationships/hyperlink" Target="https://aliexpress.ru/item/1005004510671330.html?sku_id=12000029420752239" TargetMode="External"/><Relationship Id="rId14" Type="http://schemas.openxmlformats.org/officeDocument/2006/relationships/hyperlink" Target="https://aliexpress.ru/item/1005002312757685.html?sku_id=1200002003233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0"/>
  <sheetViews>
    <sheetView tabSelected="1" zoomScale="90" workbookViewId="0">
      <pane ySplit="2" topLeftCell="A3" activePane="bottomLeft" state="frozen"/>
      <selection pane="bottomLeft"/>
    </sheetView>
  </sheetViews>
  <sheetFormatPr defaultColWidth="10" defaultRowHeight="15.95" customHeight="1" x14ac:dyDescent="0.25"/>
  <cols>
    <col min="1" max="1" width="33.85546875" style="92" customWidth="1"/>
    <col min="2" max="2" width="30.42578125" style="2" customWidth="1"/>
    <col min="3" max="3" width="32" style="2" customWidth="1"/>
    <col min="4" max="4" width="41.7109375" style="2" customWidth="1"/>
    <col min="5" max="5" width="10" style="2"/>
    <col min="6" max="7" width="23.5703125" style="2" customWidth="1"/>
    <col min="8" max="8" width="10.42578125" style="2" customWidth="1"/>
    <col min="9" max="9" width="8.28515625" style="2" customWidth="1"/>
    <col min="10" max="10" width="9.5703125" style="1" customWidth="1"/>
    <col min="11" max="11" width="16" style="2" customWidth="1"/>
    <col min="12" max="16384" width="10" style="2"/>
  </cols>
  <sheetData>
    <row r="2" spans="1:11" s="75" customFormat="1" ht="27.75" customHeight="1" x14ac:dyDescent="0.25">
      <c r="A2" s="72"/>
      <c r="B2" s="72" t="s">
        <v>83</v>
      </c>
      <c r="C2" s="72" t="s">
        <v>0</v>
      </c>
      <c r="D2" s="72" t="s">
        <v>39</v>
      </c>
      <c r="E2" s="72" t="s">
        <v>1</v>
      </c>
      <c r="F2" s="72" t="s">
        <v>75</v>
      </c>
      <c r="G2" s="72" t="s">
        <v>50</v>
      </c>
      <c r="H2" s="73" t="s">
        <v>85</v>
      </c>
      <c r="I2" s="73" t="s">
        <v>84</v>
      </c>
      <c r="J2" s="73" t="s">
        <v>86</v>
      </c>
      <c r="K2" s="74" t="s">
        <v>87</v>
      </c>
    </row>
    <row r="3" spans="1:11" s="28" customFormat="1" ht="17.100000000000001" customHeight="1" x14ac:dyDescent="0.25">
      <c r="A3" s="76"/>
      <c r="B3" s="26"/>
      <c r="C3" s="26"/>
      <c r="D3" s="26"/>
      <c r="E3" s="26"/>
      <c r="F3" s="27"/>
      <c r="G3" s="26"/>
      <c r="H3" s="26"/>
      <c r="I3" s="26"/>
      <c r="J3" s="26"/>
      <c r="K3" s="29"/>
    </row>
    <row r="4" spans="1:11" ht="21.95" customHeight="1" x14ac:dyDescent="0.25">
      <c r="A4" s="77" t="s">
        <v>76</v>
      </c>
      <c r="B4" s="99" t="s">
        <v>145</v>
      </c>
      <c r="C4" s="36"/>
      <c r="D4" s="36"/>
      <c r="E4" s="36"/>
      <c r="F4" s="37"/>
      <c r="G4" s="36"/>
      <c r="H4" s="36"/>
      <c r="I4" s="36"/>
      <c r="J4" s="38"/>
      <c r="K4" s="39"/>
    </row>
    <row r="5" spans="1:11" ht="17.100000000000001" customHeight="1" x14ac:dyDescent="0.25">
      <c r="A5" s="78"/>
      <c r="B5" s="11" t="s">
        <v>3</v>
      </c>
      <c r="C5" s="11" t="s">
        <v>2</v>
      </c>
      <c r="D5" s="11" t="s">
        <v>45</v>
      </c>
      <c r="E5" s="3">
        <v>1</v>
      </c>
      <c r="F5" s="19"/>
      <c r="G5" s="5"/>
      <c r="H5" s="5"/>
      <c r="I5" s="5"/>
      <c r="J5" s="5"/>
      <c r="K5" s="40"/>
    </row>
    <row r="6" spans="1:11" ht="17.100000000000001" customHeight="1" x14ac:dyDescent="0.25">
      <c r="A6" s="78"/>
      <c r="B6" s="11" t="s">
        <v>5</v>
      </c>
      <c r="C6" s="11" t="s">
        <v>4</v>
      </c>
      <c r="D6" s="11"/>
      <c r="E6" s="3">
        <v>1</v>
      </c>
      <c r="F6" s="19"/>
      <c r="G6" s="5"/>
      <c r="H6" s="5"/>
      <c r="I6" s="5"/>
      <c r="J6" s="5"/>
      <c r="K6" s="40"/>
    </row>
    <row r="7" spans="1:11" ht="17.100000000000001" customHeight="1" x14ac:dyDescent="0.25">
      <c r="A7" s="79"/>
      <c r="B7" s="94" t="s">
        <v>7</v>
      </c>
      <c r="C7" s="94" t="s">
        <v>6</v>
      </c>
      <c r="D7" s="94"/>
      <c r="E7" s="42">
        <v>1</v>
      </c>
      <c r="F7" s="43"/>
      <c r="G7" s="44"/>
      <c r="H7" s="44"/>
      <c r="I7" s="44"/>
      <c r="J7" s="44"/>
      <c r="K7" s="45"/>
    </row>
    <row r="8" spans="1:11" s="13" customFormat="1" ht="17.100000000000001" customHeight="1" x14ac:dyDescent="0.25">
      <c r="A8" s="80"/>
      <c r="B8" s="11"/>
      <c r="C8" s="11"/>
      <c r="D8" s="11"/>
      <c r="E8" s="7"/>
      <c r="F8" s="17"/>
      <c r="G8" s="7"/>
      <c r="H8" s="7"/>
      <c r="I8" s="7"/>
      <c r="J8" s="7"/>
      <c r="K8" s="35"/>
    </row>
    <row r="9" spans="1:11" s="13" customFormat="1" ht="17.100000000000001" customHeight="1" x14ac:dyDescent="0.25">
      <c r="A9" s="80"/>
      <c r="B9" s="11"/>
      <c r="C9" s="11"/>
      <c r="D9" s="11"/>
      <c r="E9" s="7"/>
      <c r="F9" s="17"/>
      <c r="G9" s="7"/>
      <c r="H9" s="7"/>
      <c r="I9" s="7"/>
      <c r="J9" s="7"/>
      <c r="K9" s="35"/>
    </row>
    <row r="10" spans="1:11" ht="21.95" customHeight="1" x14ac:dyDescent="0.25">
      <c r="A10" s="81" t="s">
        <v>77</v>
      </c>
      <c r="B10" s="99" t="s">
        <v>145</v>
      </c>
      <c r="C10" s="46"/>
      <c r="D10" s="46"/>
      <c r="E10" s="46"/>
      <c r="F10" s="47"/>
      <c r="G10" s="46"/>
      <c r="H10" s="46"/>
      <c r="I10" s="46"/>
      <c r="J10" s="48"/>
      <c r="K10" s="49"/>
    </row>
    <row r="11" spans="1:11" ht="17.100000000000001" customHeight="1" x14ac:dyDescent="0.25">
      <c r="A11" s="78"/>
      <c r="B11" s="11" t="s">
        <v>8</v>
      </c>
      <c r="C11" s="96" t="s">
        <v>38</v>
      </c>
      <c r="D11" s="96" t="s">
        <v>40</v>
      </c>
      <c r="E11" s="3">
        <v>1</v>
      </c>
      <c r="F11" s="19"/>
      <c r="G11" s="5"/>
      <c r="H11" s="5"/>
      <c r="I11" s="5"/>
      <c r="J11" s="5"/>
      <c r="K11" s="40"/>
    </row>
    <row r="12" spans="1:11" ht="17.100000000000001" customHeight="1" x14ac:dyDescent="0.25">
      <c r="A12" s="78"/>
      <c r="B12" s="11" t="s">
        <v>10</v>
      </c>
      <c r="C12" s="11" t="s">
        <v>41</v>
      </c>
      <c r="D12" s="11" t="s">
        <v>43</v>
      </c>
      <c r="E12" s="3">
        <v>1</v>
      </c>
      <c r="F12" s="19"/>
      <c r="G12" s="5"/>
      <c r="H12" s="5"/>
      <c r="I12" s="5"/>
      <c r="J12" s="5"/>
      <c r="K12" s="40"/>
    </row>
    <row r="13" spans="1:11" ht="17.100000000000001" customHeight="1" x14ac:dyDescent="0.25">
      <c r="A13" s="78"/>
      <c r="B13" s="11" t="s">
        <v>11</v>
      </c>
      <c r="C13" s="11" t="s">
        <v>42</v>
      </c>
      <c r="D13" s="11" t="s">
        <v>43</v>
      </c>
      <c r="E13" s="3">
        <v>1</v>
      </c>
      <c r="F13" s="19"/>
      <c r="G13" s="5"/>
      <c r="H13" s="5"/>
      <c r="I13" s="5"/>
      <c r="J13" s="5"/>
      <c r="K13" s="40"/>
    </row>
    <row r="14" spans="1:11" ht="17.100000000000001" customHeight="1" x14ac:dyDescent="0.25">
      <c r="A14" s="78"/>
      <c r="B14" s="11" t="s">
        <v>14</v>
      </c>
      <c r="C14" s="11" t="s">
        <v>13</v>
      </c>
      <c r="D14" s="11" t="s">
        <v>44</v>
      </c>
      <c r="E14" s="3">
        <v>1</v>
      </c>
      <c r="F14" s="19"/>
      <c r="G14" s="5"/>
      <c r="H14" s="5"/>
      <c r="I14" s="5"/>
      <c r="J14" s="5"/>
      <c r="K14" s="40"/>
    </row>
    <row r="15" spans="1:11" ht="17.100000000000001" customHeight="1" x14ac:dyDescent="0.25">
      <c r="A15" s="78"/>
      <c r="B15" s="11" t="s">
        <v>16</v>
      </c>
      <c r="C15" s="11" t="s">
        <v>15</v>
      </c>
      <c r="D15" s="11"/>
      <c r="E15" s="3">
        <v>1</v>
      </c>
      <c r="F15" s="19"/>
      <c r="G15" s="5"/>
      <c r="H15" s="5"/>
      <c r="I15" s="5"/>
      <c r="J15" s="5"/>
      <c r="K15" s="40"/>
    </row>
    <row r="16" spans="1:11" ht="17.100000000000001" customHeight="1" x14ac:dyDescent="0.25">
      <c r="A16" s="78"/>
      <c r="B16" s="11" t="s">
        <v>18</v>
      </c>
      <c r="C16" s="11" t="s">
        <v>17</v>
      </c>
      <c r="D16" s="11"/>
      <c r="E16" s="3">
        <v>1</v>
      </c>
      <c r="F16" s="19"/>
      <c r="G16" s="5"/>
      <c r="H16" s="5"/>
      <c r="I16" s="5"/>
      <c r="J16" s="5"/>
      <c r="K16" s="40"/>
    </row>
    <row r="17" spans="1:11" ht="17.100000000000001" customHeight="1" x14ac:dyDescent="0.25">
      <c r="A17" s="78"/>
      <c r="B17" s="11" t="s">
        <v>20</v>
      </c>
      <c r="C17" s="11" t="s">
        <v>19</v>
      </c>
      <c r="D17" s="11"/>
      <c r="E17" s="3">
        <v>1</v>
      </c>
      <c r="F17" s="19"/>
      <c r="G17" s="5"/>
      <c r="H17" s="5"/>
      <c r="I17" s="5"/>
      <c r="J17" s="5"/>
      <c r="K17" s="40"/>
    </row>
    <row r="18" spans="1:11" ht="17.100000000000001" customHeight="1" x14ac:dyDescent="0.25">
      <c r="A18" s="78"/>
      <c r="B18" s="11" t="s">
        <v>22</v>
      </c>
      <c r="C18" s="11" t="s">
        <v>21</v>
      </c>
      <c r="D18" s="11"/>
      <c r="E18" s="3">
        <v>2</v>
      </c>
      <c r="F18" s="19"/>
      <c r="G18" s="5"/>
      <c r="H18" s="5"/>
      <c r="I18" s="5"/>
      <c r="J18" s="5"/>
      <c r="K18" s="40"/>
    </row>
    <row r="19" spans="1:11" ht="17.100000000000001" customHeight="1" x14ac:dyDescent="0.25">
      <c r="A19" s="78"/>
      <c r="B19" s="11" t="s">
        <v>24</v>
      </c>
      <c r="C19" s="11" t="s">
        <v>23</v>
      </c>
      <c r="D19" s="11"/>
      <c r="E19" s="3">
        <v>2</v>
      </c>
      <c r="F19" s="19"/>
      <c r="G19" s="5"/>
      <c r="H19" s="5"/>
      <c r="I19" s="5"/>
      <c r="J19" s="5"/>
      <c r="K19" s="40"/>
    </row>
    <row r="20" spans="1:11" ht="17.100000000000001" customHeight="1" x14ac:dyDescent="0.25">
      <c r="A20" s="78"/>
      <c r="B20" s="11" t="s">
        <v>12</v>
      </c>
      <c r="C20" s="17" t="s">
        <v>130</v>
      </c>
      <c r="D20" s="11" t="s">
        <v>46</v>
      </c>
      <c r="E20" s="3">
        <v>2</v>
      </c>
      <c r="F20" s="19"/>
      <c r="G20" s="5"/>
      <c r="H20" s="5"/>
      <c r="I20" s="5"/>
      <c r="J20" s="5"/>
      <c r="K20" s="40"/>
    </row>
    <row r="21" spans="1:11" ht="17.100000000000001" customHeight="1" x14ac:dyDescent="0.25">
      <c r="A21" s="79"/>
      <c r="B21" s="94" t="s">
        <v>9</v>
      </c>
      <c r="C21" s="100" t="s">
        <v>146</v>
      </c>
      <c r="D21" s="94" t="s">
        <v>47</v>
      </c>
      <c r="E21" s="42">
        <v>2</v>
      </c>
      <c r="F21" s="43"/>
      <c r="G21" s="44"/>
      <c r="H21" s="44"/>
      <c r="I21" s="44"/>
      <c r="J21" s="44"/>
      <c r="K21" s="45"/>
    </row>
    <row r="22" spans="1:11" s="13" customFormat="1" ht="17.100000000000001" customHeight="1" x14ac:dyDescent="0.25">
      <c r="A22" s="80"/>
      <c r="B22" s="11"/>
      <c r="C22" s="11"/>
      <c r="D22" s="11"/>
      <c r="E22" s="7"/>
      <c r="F22" s="17"/>
      <c r="G22" s="7"/>
      <c r="H22" s="7"/>
      <c r="I22" s="7"/>
      <c r="J22" s="7"/>
      <c r="K22" s="35"/>
    </row>
    <row r="23" spans="1:11" s="13" customFormat="1" ht="17.100000000000001" customHeight="1" x14ac:dyDescent="0.25">
      <c r="A23" s="80"/>
      <c r="B23" s="11"/>
      <c r="C23" s="11"/>
      <c r="D23" s="11"/>
      <c r="E23" s="7"/>
      <c r="F23" s="17"/>
      <c r="G23" s="7"/>
      <c r="H23" s="7"/>
      <c r="I23" s="7"/>
      <c r="J23" s="7"/>
      <c r="K23" s="35"/>
    </row>
    <row r="24" spans="1:11" ht="21.95" customHeight="1" x14ac:dyDescent="0.25">
      <c r="A24" s="81" t="s">
        <v>78</v>
      </c>
      <c r="B24" s="46"/>
      <c r="C24" s="46"/>
      <c r="D24" s="46"/>
      <c r="E24" s="46"/>
      <c r="F24" s="47"/>
      <c r="G24" s="46"/>
      <c r="H24" s="50">
        <f>SUM(H25)</f>
        <v>440</v>
      </c>
      <c r="I24" s="46"/>
      <c r="J24" s="48"/>
      <c r="K24" s="49">
        <f>SUM(K25)</f>
        <v>440</v>
      </c>
    </row>
    <row r="25" spans="1:11" ht="17.100000000000001" customHeight="1" x14ac:dyDescent="0.25">
      <c r="A25" s="82"/>
      <c r="B25" s="4" t="s">
        <v>82</v>
      </c>
      <c r="C25" s="6" t="s">
        <v>154</v>
      </c>
      <c r="D25" s="4" t="s">
        <v>49</v>
      </c>
      <c r="E25" s="7">
        <v>1</v>
      </c>
      <c r="F25" s="18" t="s">
        <v>51</v>
      </c>
      <c r="G25" s="8" t="s">
        <v>52</v>
      </c>
      <c r="H25" s="8">
        <v>440</v>
      </c>
      <c r="I25" s="8">
        <v>1</v>
      </c>
      <c r="J25" s="12">
        <f t="shared" ref="J25" si="0">H25/I25</f>
        <v>440</v>
      </c>
      <c r="K25" s="51">
        <f>J25*E25</f>
        <v>440</v>
      </c>
    </row>
    <row r="26" spans="1:11" ht="17.100000000000001" customHeight="1" x14ac:dyDescent="0.25">
      <c r="A26" s="83"/>
      <c r="B26" s="22" t="s">
        <v>70</v>
      </c>
      <c r="C26" s="22" t="s">
        <v>25</v>
      </c>
      <c r="D26" s="22" t="s">
        <v>49</v>
      </c>
      <c r="E26" s="23">
        <v>2</v>
      </c>
      <c r="F26" s="24" t="s">
        <v>48</v>
      </c>
      <c r="G26" s="25"/>
      <c r="H26" s="25"/>
      <c r="I26" s="25"/>
      <c r="J26" s="25"/>
      <c r="K26" s="52"/>
    </row>
    <row r="27" spans="1:11" ht="17.100000000000001" customHeight="1" x14ac:dyDescent="0.25">
      <c r="A27" s="84"/>
      <c r="B27" s="53" t="s">
        <v>71</v>
      </c>
      <c r="C27" s="53" t="s">
        <v>25</v>
      </c>
      <c r="D27" s="53" t="s">
        <v>49</v>
      </c>
      <c r="E27" s="54">
        <v>2</v>
      </c>
      <c r="F27" s="55" t="s">
        <v>48</v>
      </c>
      <c r="G27" s="56"/>
      <c r="H27" s="56"/>
      <c r="I27" s="56"/>
      <c r="J27" s="56"/>
      <c r="K27" s="57"/>
    </row>
    <row r="28" spans="1:11" s="13" customFormat="1" ht="17.100000000000001" customHeight="1" x14ac:dyDescent="0.25">
      <c r="A28" s="80"/>
      <c r="B28" s="11"/>
      <c r="C28" s="11"/>
      <c r="D28" s="11"/>
      <c r="E28" s="7"/>
      <c r="F28" s="20"/>
      <c r="G28" s="14"/>
      <c r="H28" s="14"/>
      <c r="I28" s="14"/>
      <c r="J28" s="14"/>
      <c r="K28" s="34"/>
    </row>
    <row r="29" spans="1:11" s="13" customFormat="1" ht="17.100000000000001" customHeight="1" x14ac:dyDescent="0.25">
      <c r="A29" s="80"/>
      <c r="B29" s="11"/>
      <c r="C29" s="11"/>
      <c r="D29" s="11"/>
      <c r="E29" s="7"/>
      <c r="F29" s="20"/>
      <c r="G29" s="14"/>
      <c r="H29" s="14"/>
      <c r="I29" s="14"/>
      <c r="J29" s="14"/>
      <c r="K29" s="34"/>
    </row>
    <row r="30" spans="1:11" ht="21.95" customHeight="1" x14ac:dyDescent="0.25">
      <c r="A30" s="77" t="s">
        <v>79</v>
      </c>
      <c r="B30" s="58"/>
      <c r="C30" s="58"/>
      <c r="D30" s="58"/>
      <c r="E30" s="58"/>
      <c r="F30" s="47"/>
      <c r="G30" s="58"/>
      <c r="H30" s="59">
        <f>SUM(H31:H40)</f>
        <v>1892</v>
      </c>
      <c r="I30" s="58"/>
      <c r="J30" s="60"/>
      <c r="K30" s="39">
        <f>SUM(K31:K40)</f>
        <v>1325.96</v>
      </c>
    </row>
    <row r="31" spans="1:11" ht="17.100000000000001" customHeight="1" x14ac:dyDescent="0.25">
      <c r="A31" s="78"/>
      <c r="B31" s="11" t="s">
        <v>53</v>
      </c>
      <c r="C31" s="4" t="s">
        <v>56</v>
      </c>
      <c r="D31" s="3"/>
      <c r="E31" s="3">
        <v>1</v>
      </c>
      <c r="F31" s="18" t="s">
        <v>57</v>
      </c>
      <c r="G31" s="4" t="s">
        <v>72</v>
      </c>
      <c r="H31" s="4">
        <v>115</v>
      </c>
      <c r="I31" s="4">
        <v>10</v>
      </c>
      <c r="J31" s="3">
        <f t="shared" ref="J31:J39" si="1">H31/I31</f>
        <v>11.5</v>
      </c>
      <c r="K31" s="61">
        <f t="shared" ref="K31:K39" si="2">J31*E31</f>
        <v>11.5</v>
      </c>
    </row>
    <row r="32" spans="1:11" ht="17.100000000000001" customHeight="1" x14ac:dyDescent="0.25">
      <c r="A32" s="78"/>
      <c r="B32" s="11" t="s">
        <v>54</v>
      </c>
      <c r="C32" s="4" t="s">
        <v>60</v>
      </c>
      <c r="D32" s="8" t="s">
        <v>59</v>
      </c>
      <c r="E32" s="3">
        <v>1</v>
      </c>
      <c r="F32" s="18" t="s">
        <v>58</v>
      </c>
      <c r="G32" s="4" t="s">
        <v>72</v>
      </c>
      <c r="H32" s="4">
        <v>113</v>
      </c>
      <c r="I32" s="4">
        <v>50</v>
      </c>
      <c r="J32" s="3">
        <f t="shared" si="1"/>
        <v>2.2599999999999998</v>
      </c>
      <c r="K32" s="61">
        <f t="shared" si="2"/>
        <v>2.2599999999999998</v>
      </c>
    </row>
    <row r="33" spans="1:11" ht="17.100000000000001" customHeight="1" x14ac:dyDescent="0.25">
      <c r="A33" s="78"/>
      <c r="B33" s="11" t="s">
        <v>26</v>
      </c>
      <c r="C33" s="8" t="s">
        <v>144</v>
      </c>
      <c r="D33" s="8" t="s">
        <v>143</v>
      </c>
      <c r="E33" s="3">
        <v>2</v>
      </c>
      <c r="F33" s="18" t="s">
        <v>64</v>
      </c>
      <c r="G33" s="4" t="s">
        <v>90</v>
      </c>
      <c r="H33" s="4">
        <v>364</v>
      </c>
      <c r="I33" s="4">
        <v>10</v>
      </c>
      <c r="J33" s="3">
        <f t="shared" si="1"/>
        <v>36.4</v>
      </c>
      <c r="K33" s="61">
        <f t="shared" si="2"/>
        <v>72.8</v>
      </c>
    </row>
    <row r="34" spans="1:11" ht="17.100000000000001" customHeight="1" x14ac:dyDescent="0.25">
      <c r="A34" s="78"/>
      <c r="B34" s="11" t="s">
        <v>27</v>
      </c>
      <c r="C34" s="8" t="s">
        <v>68</v>
      </c>
      <c r="D34" s="4"/>
      <c r="E34" s="3">
        <v>2</v>
      </c>
      <c r="F34" s="20" t="s">
        <v>92</v>
      </c>
      <c r="G34" s="4" t="s">
        <v>73</v>
      </c>
      <c r="H34" s="4">
        <v>130</v>
      </c>
      <c r="I34" s="4">
        <v>10</v>
      </c>
      <c r="J34" s="3">
        <f t="shared" si="1"/>
        <v>13</v>
      </c>
      <c r="K34" s="61">
        <f t="shared" si="2"/>
        <v>26</v>
      </c>
    </row>
    <row r="35" spans="1:11" ht="17.100000000000001" customHeight="1" x14ac:dyDescent="0.25">
      <c r="A35" s="78"/>
      <c r="B35" s="11" t="s">
        <v>89</v>
      </c>
      <c r="C35" s="4" t="s">
        <v>28</v>
      </c>
      <c r="D35" s="4"/>
      <c r="E35" s="3">
        <v>1</v>
      </c>
      <c r="F35" s="97"/>
      <c r="G35" s="4" t="s">
        <v>125</v>
      </c>
      <c r="H35" s="9">
        <v>200</v>
      </c>
      <c r="I35" s="9">
        <v>1</v>
      </c>
      <c r="J35" s="10">
        <f t="shared" si="1"/>
        <v>200</v>
      </c>
      <c r="K35" s="62">
        <f t="shared" si="2"/>
        <v>200</v>
      </c>
    </row>
    <row r="36" spans="1:11" ht="17.100000000000001" customHeight="1" x14ac:dyDescent="0.25">
      <c r="A36" s="85"/>
      <c r="B36" s="11" t="s">
        <v>88</v>
      </c>
      <c r="C36" s="11" t="s">
        <v>29</v>
      </c>
      <c r="D36" s="4"/>
      <c r="E36" s="3">
        <v>2</v>
      </c>
      <c r="F36" s="18" t="s">
        <v>93</v>
      </c>
      <c r="G36" s="4" t="s">
        <v>91</v>
      </c>
      <c r="H36" s="4">
        <v>104</v>
      </c>
      <c r="I36" s="4">
        <v>20</v>
      </c>
      <c r="J36" s="3">
        <f t="shared" si="1"/>
        <v>5.2</v>
      </c>
      <c r="K36" s="61">
        <f t="shared" si="2"/>
        <v>10.4</v>
      </c>
    </row>
    <row r="37" spans="1:11" ht="17.100000000000001" customHeight="1" x14ac:dyDescent="0.25">
      <c r="A37" s="78"/>
      <c r="B37" s="11" t="s">
        <v>30</v>
      </c>
      <c r="C37" s="4"/>
      <c r="D37" s="4"/>
      <c r="E37" s="3">
        <v>4</v>
      </c>
      <c r="F37" s="8" t="s">
        <v>94</v>
      </c>
      <c r="G37" s="4" t="s">
        <v>95</v>
      </c>
      <c r="H37" s="4">
        <v>137</v>
      </c>
      <c r="I37" s="21">
        <v>2</v>
      </c>
      <c r="J37" s="3">
        <f t="shared" si="1"/>
        <v>68.5</v>
      </c>
      <c r="K37" s="61">
        <f t="shared" si="2"/>
        <v>274</v>
      </c>
    </row>
    <row r="38" spans="1:11" ht="17.100000000000001" customHeight="1" x14ac:dyDescent="0.25">
      <c r="A38" s="78"/>
      <c r="B38" s="11" t="s">
        <v>31</v>
      </c>
      <c r="C38" s="4"/>
      <c r="D38" s="4"/>
      <c r="E38" s="3">
        <v>2</v>
      </c>
      <c r="F38" s="18" t="s">
        <v>96</v>
      </c>
      <c r="G38" s="4" t="s">
        <v>95</v>
      </c>
      <c r="H38" s="4">
        <v>129</v>
      </c>
      <c r="I38" s="21">
        <v>2</v>
      </c>
      <c r="J38" s="3">
        <f t="shared" si="1"/>
        <v>64.5</v>
      </c>
      <c r="K38" s="61">
        <f t="shared" si="2"/>
        <v>129</v>
      </c>
    </row>
    <row r="39" spans="1:11" ht="17.100000000000001" customHeight="1" x14ac:dyDescent="0.25">
      <c r="A39" s="78"/>
      <c r="B39" s="4" t="s">
        <v>32</v>
      </c>
      <c r="C39" s="4"/>
      <c r="D39" s="8" t="s">
        <v>132</v>
      </c>
      <c r="E39" s="3">
        <v>1</v>
      </c>
      <c r="F39" s="18" t="s">
        <v>55</v>
      </c>
      <c r="G39" s="4" t="s">
        <v>74</v>
      </c>
      <c r="H39" s="9">
        <v>300</v>
      </c>
      <c r="I39" s="9">
        <v>1</v>
      </c>
      <c r="J39" s="10">
        <f t="shared" si="1"/>
        <v>300</v>
      </c>
      <c r="K39" s="62">
        <f t="shared" si="2"/>
        <v>300</v>
      </c>
    </row>
    <row r="40" spans="1:11" ht="17.100000000000001" customHeight="1" x14ac:dyDescent="0.25">
      <c r="A40" s="79"/>
      <c r="B40" s="41" t="s">
        <v>69</v>
      </c>
      <c r="C40" s="63" t="s">
        <v>131</v>
      </c>
      <c r="D40" s="41" t="s">
        <v>97</v>
      </c>
      <c r="E40" s="42">
        <v>1</v>
      </c>
      <c r="F40" s="64" t="s">
        <v>98</v>
      </c>
      <c r="G40" s="42"/>
      <c r="H40" s="65">
        <v>300</v>
      </c>
      <c r="I40" s="65">
        <v>1</v>
      </c>
      <c r="J40" s="66">
        <f t="shared" ref="J40" si="3">H40/I40</f>
        <v>300</v>
      </c>
      <c r="K40" s="67">
        <f t="shared" ref="K40" si="4">J40*E40</f>
        <v>300</v>
      </c>
    </row>
    <row r="41" spans="1:11" ht="17.100000000000001" customHeight="1" x14ac:dyDescent="0.25">
      <c r="A41" s="86"/>
      <c r="B41" s="16"/>
      <c r="C41" s="16"/>
      <c r="D41" s="16"/>
      <c r="E41" s="16"/>
      <c r="F41" s="8"/>
      <c r="G41" s="16"/>
      <c r="H41" s="16"/>
      <c r="I41" s="16"/>
      <c r="J41" s="16"/>
      <c r="K41" s="31"/>
    </row>
    <row r="42" spans="1:11" ht="17.100000000000001" customHeight="1" x14ac:dyDescent="0.25">
      <c r="A42" s="86"/>
      <c r="B42" s="16"/>
      <c r="C42" s="16"/>
      <c r="D42" s="16"/>
      <c r="E42" s="16"/>
      <c r="F42" s="8"/>
      <c r="G42" s="16"/>
      <c r="H42" s="16"/>
      <c r="I42" s="16"/>
      <c r="J42" s="16"/>
      <c r="K42" s="31"/>
    </row>
    <row r="43" spans="1:11" ht="21.95" customHeight="1" x14ac:dyDescent="0.25">
      <c r="A43" s="77" t="s">
        <v>80</v>
      </c>
      <c r="B43" s="68"/>
      <c r="C43" s="68"/>
      <c r="D43" s="68"/>
      <c r="E43" s="68"/>
      <c r="F43" s="37"/>
      <c r="G43" s="68"/>
      <c r="H43" s="50">
        <f>SUM(H44:H47)</f>
        <v>1857</v>
      </c>
      <c r="I43" s="68"/>
      <c r="J43" s="69"/>
      <c r="K43" s="49">
        <f>SUM(K44:K47)</f>
        <v>1857</v>
      </c>
    </row>
    <row r="44" spans="1:11" ht="17.100000000000001" customHeight="1" x14ac:dyDescent="0.25">
      <c r="A44" s="78"/>
      <c r="B44" s="4" t="s">
        <v>67</v>
      </c>
      <c r="C44" s="4" t="s">
        <v>66</v>
      </c>
      <c r="D44" s="8" t="s">
        <v>133</v>
      </c>
      <c r="E44" s="3">
        <v>1</v>
      </c>
      <c r="F44" s="18" t="s">
        <v>103</v>
      </c>
      <c r="G44" s="3"/>
      <c r="H44" s="3">
        <v>850</v>
      </c>
      <c r="I44" s="3">
        <v>1</v>
      </c>
      <c r="J44" s="3">
        <f t="shared" ref="J44:J47" si="5">H44/I44</f>
        <v>850</v>
      </c>
      <c r="K44" s="61">
        <f t="shared" ref="K44:K47" si="6">J44*E44</f>
        <v>850</v>
      </c>
    </row>
    <row r="45" spans="1:11" ht="17.100000000000001" customHeight="1" x14ac:dyDescent="0.25">
      <c r="A45" s="78"/>
      <c r="B45" s="4" t="s">
        <v>36</v>
      </c>
      <c r="C45" s="4" t="s">
        <v>61</v>
      </c>
      <c r="D45" s="4" t="s">
        <v>62</v>
      </c>
      <c r="E45" s="3">
        <v>1</v>
      </c>
      <c r="F45" s="18" t="s">
        <v>63</v>
      </c>
      <c r="G45" s="4" t="s">
        <v>126</v>
      </c>
      <c r="H45" s="3">
        <v>282</v>
      </c>
      <c r="I45" s="3">
        <v>1</v>
      </c>
      <c r="J45" s="3">
        <f t="shared" si="5"/>
        <v>282</v>
      </c>
      <c r="K45" s="61">
        <f t="shared" si="6"/>
        <v>282</v>
      </c>
    </row>
    <row r="46" spans="1:11" ht="17.100000000000001" customHeight="1" x14ac:dyDescent="0.25">
      <c r="A46" s="78"/>
      <c r="B46" s="4" t="s">
        <v>65</v>
      </c>
      <c r="C46" s="8" t="s">
        <v>134</v>
      </c>
      <c r="D46" s="8" t="s">
        <v>135</v>
      </c>
      <c r="E46" s="3">
        <v>1</v>
      </c>
      <c r="F46" s="20" t="s">
        <v>99</v>
      </c>
      <c r="G46" s="3"/>
      <c r="H46" s="3">
        <v>325</v>
      </c>
      <c r="I46" s="3">
        <v>1</v>
      </c>
      <c r="J46" s="3">
        <f t="shared" si="5"/>
        <v>325</v>
      </c>
      <c r="K46" s="61">
        <f t="shared" si="6"/>
        <v>325</v>
      </c>
    </row>
    <row r="47" spans="1:11" ht="17.100000000000001" customHeight="1" x14ac:dyDescent="0.25">
      <c r="A47" s="79"/>
      <c r="B47" s="94" t="s">
        <v>37</v>
      </c>
      <c r="C47" s="63" t="s">
        <v>127</v>
      </c>
      <c r="D47" s="41" t="s">
        <v>129</v>
      </c>
      <c r="E47" s="42">
        <v>1</v>
      </c>
      <c r="F47" s="64" t="s">
        <v>128</v>
      </c>
      <c r="G47" s="42"/>
      <c r="H47" s="93">
        <v>400</v>
      </c>
      <c r="I47" s="93">
        <v>1</v>
      </c>
      <c r="J47" s="93">
        <f t="shared" si="5"/>
        <v>400</v>
      </c>
      <c r="K47" s="95">
        <f t="shared" si="6"/>
        <v>400</v>
      </c>
    </row>
    <row r="48" spans="1:11" s="13" customFormat="1" ht="17.100000000000001" customHeight="1" x14ac:dyDescent="0.25">
      <c r="A48" s="80"/>
      <c r="B48" s="7"/>
      <c r="C48" s="11"/>
      <c r="D48" s="11"/>
      <c r="E48" s="7"/>
      <c r="F48" s="17"/>
      <c r="G48" s="7"/>
      <c r="H48" s="7"/>
      <c r="I48" s="7"/>
      <c r="J48" s="7"/>
      <c r="K48" s="35"/>
    </row>
    <row r="49" spans="1:11" ht="17.100000000000001" customHeight="1" x14ac:dyDescent="0.25">
      <c r="A49" s="87"/>
      <c r="B49" s="3"/>
      <c r="C49" s="4"/>
      <c r="D49" s="4"/>
      <c r="E49" s="3"/>
      <c r="F49" s="8"/>
      <c r="G49" s="3"/>
      <c r="H49" s="3"/>
      <c r="I49" s="3"/>
      <c r="J49" s="3"/>
      <c r="K49" s="30"/>
    </row>
    <row r="50" spans="1:11" ht="21.95" customHeight="1" x14ac:dyDescent="0.25">
      <c r="A50" s="88" t="s">
        <v>123</v>
      </c>
      <c r="B50" s="70"/>
      <c r="C50" s="70"/>
      <c r="D50" s="70"/>
      <c r="E50" s="70"/>
      <c r="F50" s="70"/>
      <c r="G50" s="70"/>
      <c r="H50" s="59">
        <f>SUM(H51)</f>
        <v>3000</v>
      </c>
      <c r="I50" s="70"/>
      <c r="J50" s="70"/>
      <c r="K50" s="39">
        <f>SUM(K51)</f>
        <v>3000</v>
      </c>
    </row>
    <row r="51" spans="1:11" s="13" customFormat="1" ht="17.100000000000001" customHeight="1" x14ac:dyDescent="0.25">
      <c r="A51" s="89"/>
      <c r="B51" s="4" t="s">
        <v>100</v>
      </c>
      <c r="C51" s="8" t="s">
        <v>136</v>
      </c>
      <c r="D51" s="4"/>
      <c r="E51" s="3">
        <v>1</v>
      </c>
      <c r="F51" s="18" t="s">
        <v>102</v>
      </c>
      <c r="G51" s="3" t="s">
        <v>101</v>
      </c>
      <c r="H51" s="3">
        <v>3000</v>
      </c>
      <c r="I51" s="3">
        <v>1</v>
      </c>
      <c r="J51" s="3">
        <f>H51/I51</f>
        <v>3000</v>
      </c>
      <c r="K51" s="61">
        <f>J51*E51</f>
        <v>3000</v>
      </c>
    </row>
    <row r="52" spans="1:11" s="13" customFormat="1" ht="17.100000000000001" customHeight="1" x14ac:dyDescent="0.25">
      <c r="A52" s="90"/>
      <c r="B52" s="41"/>
      <c r="C52" s="41"/>
      <c r="D52" s="41"/>
      <c r="E52" s="42"/>
      <c r="F52" s="64"/>
      <c r="G52" s="42"/>
      <c r="H52" s="42"/>
      <c r="I52" s="42"/>
      <c r="J52" s="42"/>
      <c r="K52" s="71"/>
    </row>
    <row r="53" spans="1:11" s="13" customFormat="1" ht="17.100000000000001" customHeight="1" x14ac:dyDescent="0.25">
      <c r="A53" s="91"/>
      <c r="B53" s="4"/>
      <c r="C53" s="4"/>
      <c r="D53" s="4"/>
      <c r="E53" s="3"/>
      <c r="F53" s="18"/>
      <c r="G53" s="3"/>
      <c r="H53" s="3"/>
      <c r="I53" s="3"/>
      <c r="J53" s="3"/>
      <c r="K53" s="30"/>
    </row>
    <row r="54" spans="1:11" ht="17.100000000000001" customHeight="1" x14ac:dyDescent="0.25">
      <c r="A54" s="87"/>
      <c r="B54" s="3"/>
      <c r="C54" s="3"/>
      <c r="D54" s="3"/>
      <c r="E54" s="3"/>
      <c r="F54" s="8"/>
      <c r="G54" s="3"/>
      <c r="H54" s="3"/>
      <c r="I54" s="3"/>
      <c r="J54" s="3"/>
      <c r="K54" s="30"/>
    </row>
    <row r="55" spans="1:11" ht="21.95" customHeight="1" x14ac:dyDescent="0.25">
      <c r="A55" s="81" t="s">
        <v>81</v>
      </c>
      <c r="B55" s="36" t="s">
        <v>138</v>
      </c>
      <c r="C55" s="68"/>
      <c r="D55" s="68"/>
      <c r="E55" s="68"/>
      <c r="F55" s="37"/>
      <c r="G55" s="68"/>
      <c r="H55" s="50">
        <f>SUM(H57:H73)</f>
        <v>0</v>
      </c>
      <c r="I55" s="68"/>
      <c r="J55" s="69"/>
      <c r="K55" s="49"/>
    </row>
    <row r="56" spans="1:11" ht="21.95" customHeight="1" x14ac:dyDescent="0.25">
      <c r="A56" s="105"/>
      <c r="B56" s="106" t="s">
        <v>158</v>
      </c>
      <c r="C56" s="107"/>
      <c r="D56" s="107"/>
      <c r="E56" s="107"/>
      <c r="F56" s="108"/>
      <c r="G56" s="107"/>
      <c r="H56" s="109"/>
      <c r="I56" s="107"/>
      <c r="J56" s="110"/>
      <c r="K56" s="111"/>
    </row>
    <row r="57" spans="1:11" ht="17.100000000000001" customHeight="1" x14ac:dyDescent="0.25">
      <c r="A57" s="78"/>
      <c r="B57" s="98" t="s">
        <v>104</v>
      </c>
      <c r="C57" s="11" t="s">
        <v>109</v>
      </c>
      <c r="D57" s="17" t="s">
        <v>124</v>
      </c>
      <c r="E57" s="7">
        <v>4</v>
      </c>
      <c r="F57" s="8"/>
      <c r="G57" s="4" t="s">
        <v>155</v>
      </c>
      <c r="H57" s="3"/>
      <c r="I57" s="3"/>
      <c r="J57" s="3"/>
      <c r="K57" s="61"/>
    </row>
    <row r="58" spans="1:11" ht="17.100000000000001" customHeight="1" x14ac:dyDescent="0.25">
      <c r="A58" s="78"/>
      <c r="B58" s="98" t="s">
        <v>105</v>
      </c>
      <c r="C58" s="11" t="s">
        <v>109</v>
      </c>
      <c r="D58" s="7"/>
      <c r="E58" s="7">
        <v>24</v>
      </c>
      <c r="F58" s="8"/>
      <c r="G58" s="4" t="s">
        <v>155</v>
      </c>
      <c r="H58" s="3"/>
      <c r="I58" s="3"/>
      <c r="J58" s="3"/>
      <c r="K58" s="61"/>
    </row>
    <row r="59" spans="1:11" ht="17.100000000000001" customHeight="1" x14ac:dyDescent="0.25">
      <c r="A59" s="78"/>
      <c r="B59" s="11" t="s">
        <v>106</v>
      </c>
      <c r="C59" s="11" t="s">
        <v>110</v>
      </c>
      <c r="D59" s="7"/>
      <c r="E59" s="7">
        <v>4</v>
      </c>
      <c r="F59" s="8"/>
      <c r="G59" s="4" t="s">
        <v>156</v>
      </c>
      <c r="H59" s="3"/>
      <c r="I59" s="3"/>
      <c r="J59" s="3"/>
      <c r="K59" s="61"/>
    </row>
    <row r="60" spans="1:11" ht="17.100000000000001" customHeight="1" x14ac:dyDescent="0.25">
      <c r="A60" s="78"/>
      <c r="B60" s="11" t="s">
        <v>33</v>
      </c>
      <c r="C60" s="7"/>
      <c r="D60" s="11" t="s">
        <v>137</v>
      </c>
      <c r="E60" s="7">
        <v>2</v>
      </c>
      <c r="F60" s="8"/>
      <c r="G60" s="4" t="s">
        <v>141</v>
      </c>
      <c r="H60" s="3"/>
      <c r="I60" s="3"/>
      <c r="J60" s="3"/>
      <c r="K60" s="61"/>
    </row>
    <row r="61" spans="1:11" ht="17.100000000000001" customHeight="1" x14ac:dyDescent="0.25">
      <c r="A61" s="78"/>
      <c r="B61" s="11" t="s">
        <v>34</v>
      </c>
      <c r="C61" s="7"/>
      <c r="D61" s="7"/>
      <c r="E61" s="7">
        <v>2</v>
      </c>
      <c r="F61" s="8"/>
      <c r="G61" s="4" t="s">
        <v>142</v>
      </c>
      <c r="H61" s="3"/>
      <c r="I61" s="3"/>
      <c r="J61" s="3"/>
      <c r="K61" s="61"/>
    </row>
    <row r="62" spans="1:11" ht="17.100000000000001" customHeight="1" x14ac:dyDescent="0.25">
      <c r="A62" s="78"/>
      <c r="B62" s="98" t="s">
        <v>35</v>
      </c>
      <c r="C62" s="7"/>
      <c r="D62" s="7"/>
      <c r="E62" s="7">
        <v>6</v>
      </c>
      <c r="F62" s="8"/>
      <c r="G62" s="3"/>
      <c r="H62" s="3"/>
      <c r="I62" s="3"/>
      <c r="J62" s="3"/>
      <c r="K62" s="61"/>
    </row>
    <row r="63" spans="1:11" ht="17.100000000000001" customHeight="1" x14ac:dyDescent="0.25">
      <c r="A63" s="78"/>
      <c r="B63" s="98" t="s">
        <v>107</v>
      </c>
      <c r="C63" s="11" t="s">
        <v>112</v>
      </c>
      <c r="D63" s="7"/>
      <c r="E63" s="7">
        <v>5</v>
      </c>
      <c r="F63" s="8"/>
      <c r="G63" s="4" t="s">
        <v>139</v>
      </c>
      <c r="H63" s="3"/>
      <c r="I63" s="3"/>
      <c r="J63" s="3"/>
      <c r="K63" s="61"/>
    </row>
    <row r="64" spans="1:11" ht="17.100000000000001" customHeight="1" x14ac:dyDescent="0.25">
      <c r="A64" s="78"/>
      <c r="B64" s="98" t="s">
        <v>111</v>
      </c>
      <c r="C64" s="11" t="s">
        <v>112</v>
      </c>
      <c r="D64" s="7"/>
      <c r="E64" s="7">
        <v>2</v>
      </c>
      <c r="F64" s="8"/>
      <c r="G64" s="4" t="s">
        <v>139</v>
      </c>
      <c r="H64" s="3"/>
      <c r="I64" s="3"/>
      <c r="J64" s="3"/>
      <c r="K64" s="61"/>
    </row>
    <row r="65" spans="1:11" ht="17.100000000000001" customHeight="1" x14ac:dyDescent="0.25">
      <c r="A65" s="78"/>
      <c r="B65" s="11" t="s">
        <v>108</v>
      </c>
      <c r="C65" s="11" t="s">
        <v>112</v>
      </c>
      <c r="D65" s="7"/>
      <c r="E65" s="7">
        <v>1</v>
      </c>
      <c r="F65" s="8"/>
      <c r="G65" s="4" t="s">
        <v>139</v>
      </c>
      <c r="H65" s="3"/>
      <c r="I65" s="3"/>
      <c r="J65" s="3"/>
      <c r="K65" s="61"/>
    </row>
    <row r="66" spans="1:11" ht="17.100000000000001" customHeight="1" x14ac:dyDescent="0.25">
      <c r="A66" s="78"/>
      <c r="B66" s="98" t="s">
        <v>113</v>
      </c>
      <c r="C66" s="11" t="s">
        <v>122</v>
      </c>
      <c r="D66" s="7"/>
      <c r="E66" s="7">
        <v>2</v>
      </c>
      <c r="F66" s="8"/>
      <c r="G66" s="4" t="s">
        <v>157</v>
      </c>
      <c r="H66" s="3"/>
      <c r="I66" s="3"/>
      <c r="J66" s="3"/>
      <c r="K66" s="61"/>
    </row>
    <row r="67" spans="1:11" ht="17.100000000000001" customHeight="1" x14ac:dyDescent="0.25">
      <c r="A67" s="78"/>
      <c r="B67" s="98" t="s">
        <v>114</v>
      </c>
      <c r="C67" s="11" t="s">
        <v>122</v>
      </c>
      <c r="D67" s="7"/>
      <c r="E67" s="7">
        <v>2</v>
      </c>
      <c r="F67" s="8"/>
      <c r="G67" s="4" t="s">
        <v>157</v>
      </c>
      <c r="H67" s="3"/>
      <c r="I67" s="3"/>
      <c r="J67" s="3"/>
      <c r="K67" s="61"/>
    </row>
    <row r="68" spans="1:11" ht="17.100000000000001" customHeight="1" x14ac:dyDescent="0.25">
      <c r="A68" s="78"/>
      <c r="B68" s="98" t="s">
        <v>119</v>
      </c>
      <c r="C68" s="11" t="s">
        <v>122</v>
      </c>
      <c r="D68" s="7"/>
      <c r="E68" s="7">
        <v>4</v>
      </c>
      <c r="F68" s="8"/>
      <c r="G68" s="4" t="s">
        <v>157</v>
      </c>
      <c r="H68" s="3"/>
      <c r="I68" s="3"/>
      <c r="J68" s="3"/>
      <c r="K68" s="61"/>
    </row>
    <row r="69" spans="1:11" ht="17.100000000000001" customHeight="1" x14ac:dyDescent="0.25">
      <c r="A69" s="78"/>
      <c r="B69" s="98" t="s">
        <v>115</v>
      </c>
      <c r="C69" s="11" t="s">
        <v>122</v>
      </c>
      <c r="D69" s="7"/>
      <c r="E69" s="7">
        <v>2</v>
      </c>
      <c r="F69" s="8"/>
      <c r="G69" s="4" t="s">
        <v>157</v>
      </c>
      <c r="H69" s="3"/>
      <c r="I69" s="3"/>
      <c r="J69" s="3"/>
      <c r="K69" s="61"/>
    </row>
    <row r="70" spans="1:11" ht="17.100000000000001" customHeight="1" x14ac:dyDescent="0.25">
      <c r="A70" s="78"/>
      <c r="B70" s="98" t="s">
        <v>116</v>
      </c>
      <c r="C70" s="11" t="s">
        <v>122</v>
      </c>
      <c r="D70" s="7"/>
      <c r="E70" s="7">
        <v>2</v>
      </c>
      <c r="F70" s="8"/>
      <c r="G70" s="4" t="s">
        <v>157</v>
      </c>
      <c r="H70" s="3"/>
      <c r="I70" s="3"/>
      <c r="J70" s="3"/>
      <c r="K70" s="61"/>
    </row>
    <row r="71" spans="1:11" ht="17.100000000000001" customHeight="1" x14ac:dyDescent="0.25">
      <c r="A71" s="78"/>
      <c r="B71" s="98" t="s">
        <v>117</v>
      </c>
      <c r="C71" s="11" t="s">
        <v>122</v>
      </c>
      <c r="D71" s="7"/>
      <c r="E71" s="7">
        <v>2</v>
      </c>
      <c r="F71" s="8"/>
      <c r="G71" s="4" t="s">
        <v>157</v>
      </c>
      <c r="H71" s="3"/>
      <c r="I71" s="3"/>
      <c r="J71" s="3"/>
      <c r="K71" s="61"/>
    </row>
    <row r="72" spans="1:11" ht="17.100000000000001" customHeight="1" x14ac:dyDescent="0.25">
      <c r="A72" s="78"/>
      <c r="B72" s="98" t="s">
        <v>118</v>
      </c>
      <c r="C72" s="11" t="s">
        <v>122</v>
      </c>
      <c r="D72" s="7"/>
      <c r="E72" s="7">
        <v>4</v>
      </c>
      <c r="F72" s="8"/>
      <c r="G72" s="4" t="s">
        <v>157</v>
      </c>
      <c r="H72" s="3"/>
      <c r="I72" s="3"/>
      <c r="J72" s="3"/>
      <c r="K72" s="61"/>
    </row>
    <row r="73" spans="1:11" ht="17.100000000000001" customHeight="1" x14ac:dyDescent="0.25">
      <c r="A73" s="79"/>
      <c r="B73" s="94" t="s">
        <v>120</v>
      </c>
      <c r="C73" s="94" t="s">
        <v>121</v>
      </c>
      <c r="D73" s="42"/>
      <c r="E73" s="42">
        <v>1</v>
      </c>
      <c r="F73" s="63"/>
      <c r="G73" s="41" t="s">
        <v>140</v>
      </c>
      <c r="H73" s="42"/>
      <c r="I73" s="42"/>
      <c r="J73" s="42"/>
      <c r="K73" s="71"/>
    </row>
    <row r="74" spans="1:11" ht="17.100000000000001" customHeight="1" x14ac:dyDescent="0.25">
      <c r="A74" s="86"/>
      <c r="B74" s="16"/>
      <c r="C74" s="16"/>
      <c r="D74" s="16"/>
      <c r="E74" s="16"/>
      <c r="F74" s="8"/>
      <c r="G74" s="16"/>
      <c r="H74" s="16"/>
      <c r="I74" s="16"/>
      <c r="J74" s="16"/>
      <c r="K74" s="32"/>
    </row>
    <row r="75" spans="1:11" ht="17.100000000000001" customHeight="1" x14ac:dyDescent="0.25">
      <c r="F75" s="15"/>
      <c r="K75" s="33"/>
    </row>
    <row r="76" spans="1:11" s="15" customFormat="1" ht="24" customHeight="1" x14ac:dyDescent="0.25">
      <c r="A76" s="102" t="s">
        <v>147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</row>
    <row r="77" spans="1:11" s="15" customFormat="1" ht="24" customHeight="1" x14ac:dyDescent="0.25">
      <c r="A77" s="103" t="s">
        <v>148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</row>
    <row r="78" spans="1:11" s="15" customFormat="1" ht="15" customHeight="1" x14ac:dyDescent="0.25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</row>
    <row r="79" spans="1:11" s="15" customFormat="1" ht="15" customHeight="1" x14ac:dyDescent="0.25">
      <c r="A79" s="103" t="s">
        <v>149</v>
      </c>
      <c r="B79" s="103"/>
      <c r="C79" s="103"/>
      <c r="D79" s="103"/>
      <c r="E79" s="103"/>
      <c r="F79" s="103"/>
      <c r="G79" s="103"/>
      <c r="H79" s="103"/>
      <c r="I79" s="103"/>
      <c r="J79" s="103"/>
      <c r="K79" s="103"/>
    </row>
    <row r="80" spans="1:11" s="15" customFormat="1" ht="15" customHeight="1" x14ac:dyDescent="0.25">
      <c r="A80" s="103" t="s">
        <v>150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</row>
    <row r="81" spans="1:11" s="15" customFormat="1" ht="15" customHeight="1" x14ac:dyDescent="0.25">
      <c r="A81" s="104" t="s">
        <v>151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</row>
    <row r="82" spans="1:11" s="15" customFormat="1" ht="15" customHeight="1" x14ac:dyDescent="0.25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</row>
    <row r="83" spans="1:11" s="15" customFormat="1" ht="15" customHeight="1" x14ac:dyDescent="0.25">
      <c r="A83" s="103" t="s">
        <v>152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</row>
    <row r="84" spans="1:11" s="15" customFormat="1" ht="15" customHeight="1" x14ac:dyDescent="0.25">
      <c r="A84" s="104" t="s">
        <v>153</v>
      </c>
      <c r="B84" s="103"/>
      <c r="C84" s="103"/>
      <c r="D84" s="103"/>
      <c r="E84" s="103"/>
      <c r="F84" s="103"/>
      <c r="G84" s="103"/>
      <c r="H84" s="103"/>
      <c r="I84" s="103"/>
      <c r="J84" s="103"/>
      <c r="K84" s="103"/>
    </row>
    <row r="85" spans="1:11" s="15" customFormat="1" ht="7.5" customHeight="1" x14ac:dyDescent="0.25">
      <c r="A85" s="101"/>
    </row>
    <row r="86" spans="1:11" ht="15.95" customHeight="1" x14ac:dyDescent="0.25">
      <c r="F86" s="15"/>
    </row>
    <row r="87" spans="1:11" ht="15.95" customHeight="1" x14ac:dyDescent="0.25">
      <c r="F87" s="15"/>
    </row>
    <row r="88" spans="1:11" ht="15.95" customHeight="1" x14ac:dyDescent="0.25">
      <c r="F88" s="15"/>
    </row>
    <row r="89" spans="1:11" ht="15.95" customHeight="1" x14ac:dyDescent="0.25">
      <c r="F89" s="15"/>
    </row>
    <row r="90" spans="1:11" ht="15.95" customHeight="1" x14ac:dyDescent="0.25">
      <c r="F90" s="15"/>
    </row>
  </sheetData>
  <mergeCells count="9">
    <mergeCell ref="A84:K84"/>
    <mergeCell ref="A76:K76"/>
    <mergeCell ref="A77:K77"/>
    <mergeCell ref="A78:K78"/>
    <mergeCell ref="A79:K79"/>
    <mergeCell ref="A80:K80"/>
    <mergeCell ref="A81:K81"/>
    <mergeCell ref="A83:K83"/>
    <mergeCell ref="A82:K82"/>
  </mergeCells>
  <phoneticPr fontId="18" type="noConversion"/>
  <hyperlinks>
    <hyperlink ref="F26" r:id="rId1" xr:uid="{52E95F1A-6CE7-47E5-99AB-7CBD04470D0D}"/>
    <hyperlink ref="F27" r:id="rId2" xr:uid="{0151036A-AF31-40E7-9E89-4B5F526FC6A3}"/>
    <hyperlink ref="F25" r:id="rId3" xr:uid="{6EF0E982-A8FF-4154-A5E6-F41D3734E74F}"/>
    <hyperlink ref="F39" r:id="rId4" xr:uid="{0D168FC6-44E4-4F47-9228-8410D12E1D8D}"/>
    <hyperlink ref="F31" r:id="rId5" xr:uid="{B61D9064-004C-4885-A4AB-0A6650A0CEE4}"/>
    <hyperlink ref="F32" r:id="rId6" display="https://aliexpress.ru/item/1005009793159581.html?spm=a2g2w.detail.rcmdprod.1.21624780GFblJN&amp;mixer_rcmd_bucket_id=controlRu1&amp;pdp_trigger_item_id=0_1005004878985049&amp;ru_algo_pv_id=de4632-61b690-e6220e-24d6bc-1789988400&amp;scenario=aerSimilarItemPdpRcmd&amp;shpMethod=CAINIAO_SUPER_ECONOMY&amp;sku_id=12000050180436228&amp;traffic_source=recommendation&amp;type_rcmd=core" xr:uid="{E5477EF0-77CB-4AD6-A672-0921AF11E49E}"/>
    <hyperlink ref="F33" r:id="rId7" xr:uid="{EE1A8909-E070-435F-A913-5155D657780F}"/>
    <hyperlink ref="F34" r:id="rId8" xr:uid="{4D02B95A-B668-48E1-AB1D-A61B6A1C2F17}"/>
    <hyperlink ref="F36" r:id="rId9" xr:uid="{914CC530-FD20-49E0-84A6-1A5F02BB7ACB}"/>
    <hyperlink ref="F38" r:id="rId10" xr:uid="{6CF002AA-699B-488E-8A27-61508BE92851}"/>
    <hyperlink ref="F40" r:id="rId11" xr:uid="{10BD62B3-2457-488E-AF61-FE1F110582D8}"/>
    <hyperlink ref="F45" r:id="rId12" xr:uid="{03AA4723-166D-493D-AC14-65D0AD3693A1}"/>
    <hyperlink ref="F46" r:id="rId13" xr:uid="{914B24EF-AFA1-4C03-BA22-4146AE7F1970}"/>
    <hyperlink ref="F51" r:id="rId14" xr:uid="{45BD4F91-93EE-4537-809F-B46985CB82F2}"/>
    <hyperlink ref="F44" r:id="rId15" xr:uid="{5DCD90BF-4625-42BB-A5AF-551A97C4E12F}"/>
    <hyperlink ref="F47" r:id="rId16" xr:uid="{3553EE3B-591E-48A7-BD05-461287B93BE8}"/>
    <hyperlink ref="A81" r:id="rId17" xr:uid="{628C5DC5-EF3F-496F-B9DA-A588CD512186}"/>
    <hyperlink ref="A84" r:id="rId18" xr:uid="{5EB0ECBE-275B-432A-8A79-2FBA50C6554A}"/>
  </hyperlinks>
  <pageMargins left="0.7" right="0.7" top="0.75" bottom="0.75" header="0.3" footer="0.3"/>
  <pageSetup paperSize="9" orientation="portrait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Specification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Laverychev</dc:creator>
  <cp:lastModifiedBy>Евгений Астапкович</cp:lastModifiedBy>
  <cp:revision>2</cp:revision>
  <dcterms:created xsi:type="dcterms:W3CDTF">2022-09-13T23:39:41Z</dcterms:created>
  <dcterms:modified xsi:type="dcterms:W3CDTF">2026-09-23T14:55:12Z</dcterms:modified>
</cp:coreProperties>
</file>